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<sst xmlns="http://schemas.openxmlformats.org/spreadsheetml/2006/main" count="88" uniqueCount="59">
  <si>
    <t xml:space="preserve">Выход на режим</t>
  </si>
  <si>
    <t xml:space="preserve">ч:мин</t>
  </si>
  <si>
    <t xml:space="preserve">Максимальная температура конденсации</t>
  </si>
  <si>
    <t xml:space="preserve">˚С</t>
  </si>
  <si>
    <t xml:space="preserve">Минимальная температура кипения </t>
  </si>
  <si>
    <t xml:space="preserve">Минимальная температура всаса </t>
  </si>
  <si>
    <t xml:space="preserve">2 дверь, со ступенькой</t>
  </si>
  <si>
    <t xml:space="preserve">T4</t>
  </si>
  <si>
    <t xml:space="preserve">T5</t>
  </si>
  <si>
    <t xml:space="preserve">T6</t>
  </si>
  <si>
    <t xml:space="preserve">T12</t>
  </si>
  <si>
    <t xml:space="preserve">T13</t>
  </si>
  <si>
    <t xml:space="preserve">T14</t>
  </si>
  <si>
    <t xml:space="preserve">T20</t>
  </si>
  <si>
    <t xml:space="preserve">T21</t>
  </si>
  <si>
    <t xml:space="preserve">T22</t>
  </si>
  <si>
    <t xml:space="preserve">T1</t>
  </si>
  <si>
    <t xml:space="preserve">T7</t>
  </si>
  <si>
    <t xml:space="preserve">T8</t>
  </si>
  <si>
    <t xml:space="preserve">T15</t>
  </si>
  <si>
    <t xml:space="preserve">T16</t>
  </si>
  <si>
    <t xml:space="preserve">T23</t>
  </si>
  <si>
    <t xml:space="preserve">T24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</si>
  <si>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</si>
  <si>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</si>
  <si>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</si>
  <si>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</si>
  <si>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</si>
  <si>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</si>
  <si>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</si>
  <si>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</si>
  <si>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T25</t>
  </si>
  <si>
    <t xml:space="preserve">T26</t>
  </si>
  <si>
    <t xml:space="preserve">T27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</si>
  <si>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</si>
  <si>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</si>
  <si>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</si>
  <si>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</si>
  <si>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</si>
  <si>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Тc фильтр Tс</t>
  </si>
  <si>
    <t xml:space="preserve">Тe  всас.  Te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</si>
  <si>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</si>
  <si>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</si>
  <si>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</si>
  <si>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</si>
  <si>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</si>
  <si>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V </t>
  </si>
  <si>
    <t xml:space="preserve">I  </t>
  </si>
  <si>
    <t xml:space="preserve">W  </t>
  </si>
  <si>
    <t xml:space="preserve">Влажность в камере.</t>
  </si>
  <si>
    <t xml:space="preserve">Т  в камере.</t>
  </si>
  <si>
    <t xml:space="preserve">Минимальная</t>
  </si>
  <si>
    <t xml:space="preserve">Средняя</t>
  </si>
  <si>
    <t xml:space="preserve">Максимальная</t>
  </si>
  <si>
    <t xml:space="preserve">T конденсации</t>
  </si>
  <si>
    <t xml:space="preserve">T кипения</t>
  </si>
  <si>
    <t xml:space="preserve">Переохлаждение</t>
  </si>
  <si>
    <t xml:space="preserve">Перегрев</t>
  </si>
  <si>
    <t xml:space="preserve">Напор</t>
  </si>
</sst>
</file>

<file path=xl/styles.xml><?xml version="1.0" encoding="utf-8"?>
<styleSheet xmlns="http://schemas.openxmlformats.org/spreadsheetml/2006/main">
  <numFmts count="6">
    <numFmt numFmtId="164" formatCode="[h]:mm:ss"/>
    <numFmt numFmtId="165" formatCode="General"/>
    <numFmt numFmtId="166" formatCode="[h]:mm:ss;@"/>
    <numFmt numFmtId="167" formatCode="\+#,##0.0;\-#,##0.0"/>
    <numFmt numFmtId="168" formatCode="[h]:mm;@"/>
    <numFmt numFmtId="169" formatCode="0.0"/>
  </numFmts>
  <fonts count="13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4B183"/>
      </patternFill>
    </fill>
    <fill>
      <patternFill patternType="solid">
        <fgColor theme="9" tint="0.5999"/>
        <bgColor rgb="FFBDD7EE"/>
      </patternFill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theme="4" tint="0.3999"/>
        <bgColor rgb="FFBFBFBF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C5E0B4"/>
      </patternFill>
    </fill>
    <fill>
      <patternFill patternType="solid">
        <fgColor theme="0" tint="-0.25"/>
        <bgColor rgb="FF9DC3E6"/>
      </patternFill>
    </fill>
    <fill>
      <patternFill patternType="solid">
        <fgColor theme="4" tint="0.7999"/>
        <bgColor rgb="FFCC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12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2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7:BA104857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M14" activeCellId="0" sqref="M14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3" min="3" style="1" width="12.56"/>
    <col collapsed="false" customWidth="true" hidden="false" outlineLevel="0" max="8" min="8" style="1" width="17.33"/>
  </cols>
  <sheetData>
    <row r="7" customFormat="false" ht="15" hidden="false" customHeight="true" outlineLevel="0" collapsed="false">
      <c r="B7" s="2" t="s">
        <v>0</v>
      </c>
      <c r="C7" s="2"/>
      <c r="D7" s="2"/>
      <c r="E7" s="2"/>
      <c r="F7" s="2"/>
      <c r="G7" s="3" t="s">
        <v>1</v>
      </c>
      <c r="H7" s="4" t="n">
        <f aca="false">B27</f>
        <v>0</v>
      </c>
    </row>
    <row r="8" customFormat="false" ht="15" hidden="false" customHeight="true" outlineLevel="0" collapsed="false">
      <c r="B8" s="2" t="s">
        <v>2</v>
      </c>
      <c r="C8" s="2"/>
      <c r="D8" s="2"/>
      <c r="E8" s="2"/>
      <c r="F8" s="2"/>
      <c r="G8" s="3" t="s">
        <v>3</v>
      </c>
      <c r="H8" s="5" t="n">
        <f aca="false">MAX(AW24)</f>
        <v>0</v>
      </c>
    </row>
    <row r="9" customFormat="false" ht="15" hidden="false" customHeight="true" outlineLevel="0" collapsed="false">
      <c r="B9" s="2" t="s">
        <v>4</v>
      </c>
      <c r="C9" s="2"/>
      <c r="D9" s="2"/>
      <c r="E9" s="2"/>
      <c r="F9" s="2"/>
      <c r="G9" s="3" t="s">
        <v>3</v>
      </c>
      <c r="H9" s="5" t="n">
        <f aca="false">MIN(AX24)</f>
        <v>0</v>
      </c>
    </row>
    <row r="10" customFormat="false" ht="15" hidden="false" customHeight="true" outlineLevel="0" collapsed="false">
      <c r="B10" s="2" t="s">
        <v>5</v>
      </c>
      <c r="C10" s="2"/>
      <c r="D10" s="2"/>
      <c r="E10" s="2"/>
      <c r="F10" s="2"/>
      <c r="G10" s="3" t="s">
        <v>3</v>
      </c>
      <c r="H10" s="5" t="n">
        <f aca="false">MIN(H24)</f>
        <v>0</v>
      </c>
    </row>
    <row r="11" customFormat="false" ht="15" hidden="false" customHeight="false" outlineLevel="0" collapsed="false">
      <c r="B11" s="2"/>
      <c r="C11" s="2"/>
      <c r="D11" s="2"/>
      <c r="E11" s="2"/>
      <c r="F11" s="2"/>
      <c r="G11" s="3" t="str">
        <f aca="false">IFERROR(
IF(#REF!=[1]списки!$a$1,"",
IF(OR(#REF!=[1]списки!$a$2,#REF!=[1]списки!$a$3),"чч:мм:сс",
IF(#REF!=[1]списки!$a$4,"",
IF(#REF!=[1]списки!$a$5,"",
IF(#REF!=[1]списки!$a$6,"",
IF(#REF!=[1]списки!$a$7,"чч:мм:сс",
IF(#REF!=[1]списки!$a$9,"чч:мм:сс",
""))))))),"")</f>
        <v/>
      </c>
      <c r="H11" s="6" t="str">
        <f aca="false">IFERROR(
IF(#REF!=[1]списки!$a$1,"",
IF(AND(#REF!&lt;&gt;"нет метки temp",OR(#REF!=[1]списки!$a$2,#REF!=[1]списки!$a$3)),IFERROR(VLOOKUP("temp",A11:$A$978551,2,FALSE()),""),
IF(#REF!=[1]списки!$a$4,"",
IF(#REF!=[1]списки!$a$5,"",
IF(#REF!=[1]списки!$a$6,"",
IF(#REF!=[1]списки!$a$7,IFERROR(VLOOKUP("on",A11:$A$978551,2,FALSE()),""),
IF(#REF!=[1]списки!$a$8,"",
IF(#REF!=[1]списки!$a$9,IFERROR(VLOOKUP("off",A11:$A$978551,2,FALSE()),""),
"")))))))),"")</f>
        <v/>
      </c>
    </row>
    <row r="12" customFormat="false" ht="15" hidden="false" customHeight="false" outlineLevel="0" collapsed="false">
      <c r="B12" s="2" t="str">
        <f aca="false">IFERROR(
IF(#REF!=[1]списки!$a$1,"",
IF(OR(#REF!=[1]списки!$a$2,#REF!=[1]списки!$a$3),"Макс. температура",
IF(#REF!=[1]списки!$a$4,"",
IF(#REF!=[1]списки!$a$5,"",
IF(#REF!=[1]списки!$a$6,"",
IF(#REF!=[1]списки!$a$7,"Маск. температура в конце теста",
IF(#REF!=[1]списки!$a$8,"",
IF(#REF!=[1]списки!$a$9,"Маск. температура в конце теста",
"")))))))),"")</f>
        <v/>
      </c>
      <c r="C12" s="2"/>
      <c r="D12" s="2"/>
      <c r="E12" s="2"/>
      <c r="F12" s="2"/>
      <c r="G12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2" s="7" t="str">
        <f aca="false">IFERROR(
IF(#REF!=[1]списки!$a$1,"",
IF(AND(#REF!&lt;&gt;"нет метки temp",OR(#REF!=[1]списки!$a$2,#REF!=[1]списки!$a$3)),IFERROR(VLOOKUP("temp",A12:$AB$978551,24,FALSE()),""),
IF(#REF!=[1]списки!$a$4,"",
IF(#REF!=[1]списки!$a$5,"",
IF(#REF!=[1]списки!$a$6,"",
IF(#REF!=[1]списки!$a$7,IFERROR(VLOOKUP("On",A12:$AB$978551,24,FALSE()),""),
IF(#REF!=[1]списки!$a$8,"",
IF(#REF!=[1]списки!$a$9,IFERROR(VLOOKUP("off",A12:$AB$978551,24,FALSE()),""),
"")))))))),"")</f>
        <v/>
      </c>
    </row>
    <row r="13" customFormat="false" ht="15" hidden="false" customHeight="false" outlineLevel="0" collapsed="false">
      <c r="B13" s="2" t="str">
        <f aca="false">IFERROR(
IF(#REF!=[1]списки!$a$1,"",
IF(OR(#REF!=[1]списки!$a$2,#REF!=[1]списки!$a$3),"Мин. температура",
IF(#REF!=[1]списки!$a$4,"",
IF(#REF!=[1]списки!$a$5,"",
IF(#REF!=[1]списки!$a$6,"",
IF(#REF!=[1]списки!$a$7,"Мин. температура в конце теста",
IF(#REF!=[1]списки!$a$8,"",
IF(#REF!=[1]списки!$a$9,"Мин. температура в конце теста",
"")))))))),"")</f>
        <v/>
      </c>
      <c r="C13" s="2"/>
      <c r="D13" s="2"/>
      <c r="E13" s="2"/>
      <c r="F13" s="2"/>
      <c r="G13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3" s="7" t="str">
        <f aca="false">IFERROR(
IF(#REF!=[1]списки!$a$1,"",
IF(AND(#REF!&lt;&gt;"нет метки temp",OR(#REF!=[1]списки!$a$2,#REF!=[1]списки!$a$3)),IFERROR(VLOOKUP("temp",A13:$AB$978551,23,FALSE()),""),
IF(#REF!=[1]списки!$a$4,"",
IF(#REF!=[1]списки!$a$5,"",
IF(#REF!=[1]списки!$a$6,"",
IF(#REF!=[1]списки!$a$7,IFERROR(VLOOKUP("On",A13:$AB$978551,23,FALSE()),""),
IF(#REF!=[1]списки!$a$8,"",
IF(#REF!=[1]списки!$a$9,IFERROR(VLOOKUP("off",A13:$AB$978551,23,FALSE()),""),
"")))))))),"")</f>
        <v/>
      </c>
    </row>
    <row r="14" customFormat="false" ht="15" hidden="false" customHeight="false" outlineLevel="0" collapsed="false">
      <c r="B14" s="2" t="str">
        <f aca="false">IFERROR(
IF(#REF!=[1]списки!$a$1,"",
IF(OR(#REF!=[1]списки!$a$2,#REF!=[1]списки!$a$3),"Средняя температура",
IF(#REF!=[1]списки!$a$4,"",
IF(#REF!=[1]списки!$a$5,"",
IF(#REF!=[1]списки!$a$6,"",
IF(#REF!=[1]списки!$a$7,"Средняя температура в конце теста",
IF(#REF!=[1]списки!$a$8,"",
IF(#REF!=[1]списки!$a$9,"Средняя температура в конце теста",
"")))))))),"")</f>
        <v/>
      </c>
      <c r="C14" s="2"/>
      <c r="D14" s="2"/>
      <c r="E14" s="2"/>
      <c r="F14" s="2"/>
      <c r="G14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4" s="7" t="str">
        <f aca="false">IFERROR(
IF(#REF!=[1]списки!$a$1,"",
IF(AND(#REF!&lt;&gt;"нет метки temp",OR(#REF!=[1]списки!$a$2,#REF!=[1]списки!$a$3)),IFERROR(VLOOKUP("temp",A14:$AB$978551,25,FALSE()),""),
IF(#REF!=[1]списки!$a$4,"",
IF(#REF!=[1]списки!$a$5,"",
IF(#REF!=[1]списки!$a$6,"",
IF(#REF!=[1]списки!$a$7,IFERROR(VLOOKUP("On",A14:$AB$978551,25,FALSE()),""),
IF(#REF!=[1]списки!$a$8,"",
IF(#REF!=[1]списки!$a$9,IFERROR(VLOOKUP("off",A14:$AB$978551,25,FALSE()),""),
"")))))))),"")</f>
        <v/>
      </c>
    </row>
    <row r="15" customFormat="false" ht="15" hidden="false" customHeight="false" outlineLevel="0" collapsed="false">
      <c r="B15" s="2"/>
      <c r="C15" s="2"/>
      <c r="D15" s="2"/>
      <c r="E15" s="2"/>
      <c r="F15" s="2"/>
      <c r="G15" s="3"/>
      <c r="H15" s="8"/>
    </row>
    <row r="18" customFormat="false" ht="19.7" hidden="false" customHeight="false" outlineLevel="0" collapsed="false">
      <c r="B18" s="9" t="s">
        <v>6</v>
      </c>
      <c r="C18" s="9"/>
      <c r="D18" s="9"/>
      <c r="E18" s="9"/>
      <c r="K18" s="10"/>
      <c r="L18" s="11"/>
      <c r="M18" s="12"/>
      <c r="O18" s="13" t="s">
        <v>7</v>
      </c>
      <c r="P18" s="10"/>
      <c r="Q18" s="11"/>
      <c r="R18" s="12"/>
      <c r="S18" s="13" t="s">
        <v>8</v>
      </c>
      <c r="T18" s="10"/>
      <c r="U18" s="11"/>
      <c r="V18" s="12"/>
      <c r="W18" s="13" t="s">
        <v>9</v>
      </c>
      <c r="Y18" s="13" t="s">
        <v>10</v>
      </c>
      <c r="Z18" s="10"/>
      <c r="AA18" s="11"/>
      <c r="AB18" s="12"/>
      <c r="AC18" s="13" t="s">
        <v>11</v>
      </c>
      <c r="AD18" s="10"/>
      <c r="AE18" s="11"/>
      <c r="AF18" s="12"/>
      <c r="AG18" s="13" t="s">
        <v>12</v>
      </c>
      <c r="AI18" s="13" t="s">
        <v>13</v>
      </c>
      <c r="AJ18" s="10"/>
      <c r="AK18" s="11"/>
      <c r="AL18" s="12"/>
      <c r="AM18" s="13" t="s">
        <v>14</v>
      </c>
      <c r="AN18" s="10"/>
      <c r="AO18" s="11"/>
      <c r="AP18" s="12"/>
      <c r="AQ18" s="13" t="s">
        <v>15</v>
      </c>
    </row>
    <row r="19" customFormat="false" ht="14.25" hidden="false" customHeight="false" outlineLevel="0" collapsed="false">
      <c r="K19" s="14"/>
      <c r="L19" s="13" t="s">
        <v>16</v>
      </c>
      <c r="M19" s="15"/>
      <c r="O19" s="16"/>
      <c r="Q19" s="13" t="s">
        <v>17</v>
      </c>
      <c r="U19" s="13" t="s">
        <v>18</v>
      </c>
      <c r="W19" s="17"/>
      <c r="Y19" s="16"/>
      <c r="AA19" s="13" t="s">
        <v>19</v>
      </c>
      <c r="AC19" s="11"/>
      <c r="AE19" s="13" t="s">
        <v>20</v>
      </c>
      <c r="AG19" s="17"/>
      <c r="AI19" s="16"/>
      <c r="AK19" s="13" t="s">
        <v>21</v>
      </c>
      <c r="AO19" s="13" t="s">
        <v>22</v>
      </c>
      <c r="AQ19" s="17"/>
    </row>
    <row r="20" customFormat="false" ht="14.25" hidden="false" customHeight="false" outlineLevel="0" collapsed="false">
      <c r="K20" s="13" t="s">
        <v>23</v>
      </c>
      <c r="L20" s="18"/>
      <c r="M20" s="13" t="s">
        <v>24</v>
      </c>
      <c r="O20" s="13" t="s">
        <v>25</v>
      </c>
      <c r="P20" s="19"/>
      <c r="Q20" s="11"/>
      <c r="R20" s="20"/>
      <c r="S20" s="13" t="s">
        <v>26</v>
      </c>
      <c r="T20" s="19"/>
      <c r="U20" s="11"/>
      <c r="V20" s="20"/>
      <c r="W20" s="13" t="s">
        <v>27</v>
      </c>
      <c r="Y20" s="13" t="s">
        <v>28</v>
      </c>
      <c r="Z20" s="19"/>
      <c r="AA20" s="11"/>
      <c r="AB20" s="20"/>
      <c r="AC20" s="13" t="s">
        <v>29</v>
      </c>
      <c r="AD20" s="19"/>
      <c r="AE20" s="11"/>
      <c r="AF20" s="20"/>
      <c r="AG20" s="13" t="s">
        <v>30</v>
      </c>
      <c r="AI20" s="13" t="s">
        <v>31</v>
      </c>
      <c r="AJ20" s="19"/>
      <c r="AK20" s="11"/>
      <c r="AL20" s="20"/>
      <c r="AM20" s="13" t="s">
        <v>32</v>
      </c>
      <c r="AN20" s="19"/>
      <c r="AO20" s="11"/>
      <c r="AP20" s="20"/>
      <c r="AQ20" s="13" t="s">
        <v>33</v>
      </c>
    </row>
    <row r="22" customFormat="false" ht="17.35" hidden="false" customHeight="false" outlineLevel="0" collapsed="false"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1"/>
      <c r="AP22" s="21"/>
      <c r="AQ22" s="21"/>
      <c r="AR22" s="21"/>
      <c r="AS22" s="21"/>
      <c r="AT22" s="21"/>
      <c r="AU22" s="21"/>
      <c r="AV22" s="21"/>
      <c r="AW22" s="21"/>
      <c r="AX22" s="21"/>
    </row>
    <row r="23" customFormat="false" ht="223" hidden="false" customHeight="false" outlineLevel="0" collapsed="false">
      <c r="B23" s="24" t="s">
        <v>34</v>
      </c>
      <c r="C23" s="25" t="s">
        <v>35</v>
      </c>
      <c r="D23" s="25" t="s">
        <v>36</v>
      </c>
      <c r="E23" s="26" t="s">
        <v>37</v>
      </c>
      <c r="F23" s="27" t="s">
        <v>38</v>
      </c>
      <c r="G23" s="27" t="s">
        <v>39</v>
      </c>
      <c r="H23" s="27" t="s">
        <v>40</v>
      </c>
      <c r="I23" s="28" t="s">
        <v>41</v>
      </c>
      <c r="J23" s="29" t="s">
        <v>42</v>
      </c>
      <c r="K23" s="29" t="s">
        <v>43</v>
      </c>
      <c r="L23" s="30" t="s">
        <v>44</v>
      </c>
      <c r="M23" s="30" t="s">
        <v>45</v>
      </c>
      <c r="N23" s="31" t="s">
        <v>16</v>
      </c>
      <c r="O23" s="31" t="s">
        <v>23</v>
      </c>
      <c r="P23" s="31" t="s">
        <v>24</v>
      </c>
      <c r="Q23" s="32" t="s">
        <v>7</v>
      </c>
      <c r="R23" s="32" t="s">
        <v>8</v>
      </c>
      <c r="S23" s="32" t="s">
        <v>9</v>
      </c>
      <c r="T23" s="32" t="s">
        <v>17</v>
      </c>
      <c r="U23" s="32" t="s">
        <v>18</v>
      </c>
      <c r="V23" s="32" t="s">
        <v>25</v>
      </c>
      <c r="W23" s="32" t="s">
        <v>26</v>
      </c>
      <c r="X23" s="32" t="s">
        <v>27</v>
      </c>
      <c r="Y23" s="33" t="s">
        <v>10</v>
      </c>
      <c r="Z23" s="33" t="s">
        <v>11</v>
      </c>
      <c r="AA23" s="33" t="s">
        <v>12</v>
      </c>
      <c r="AB23" s="33" t="s">
        <v>19</v>
      </c>
      <c r="AC23" s="33" t="s">
        <v>20</v>
      </c>
      <c r="AD23" s="33" t="s">
        <v>28</v>
      </c>
      <c r="AE23" s="33" t="s">
        <v>29</v>
      </c>
      <c r="AF23" s="33" t="s">
        <v>30</v>
      </c>
      <c r="AG23" s="34" t="s">
        <v>13</v>
      </c>
      <c r="AH23" s="34" t="s">
        <v>14</v>
      </c>
      <c r="AI23" s="34" t="s">
        <v>15</v>
      </c>
      <c r="AJ23" s="34" t="s">
        <v>21</v>
      </c>
      <c r="AK23" s="34" t="s">
        <v>22</v>
      </c>
      <c r="AL23" s="34" t="s">
        <v>31</v>
      </c>
      <c r="AM23" s="34" t="s">
        <v>32</v>
      </c>
      <c r="AN23" s="34" t="s">
        <v>33</v>
      </c>
      <c r="AO23" s="35" t="s">
        <v>46</v>
      </c>
      <c r="AP23" s="35" t="s">
        <v>47</v>
      </c>
      <c r="AQ23" s="25" t="s">
        <v>48</v>
      </c>
      <c r="AR23" s="36" t="s">
        <v>49</v>
      </c>
      <c r="AS23" s="36" t="s">
        <v>50</v>
      </c>
      <c r="AT23" s="37" t="s">
        <v>51</v>
      </c>
      <c r="AU23" s="37" t="s">
        <v>52</v>
      </c>
      <c r="AV23" s="37" t="s">
        <v>53</v>
      </c>
      <c r="AW23" s="38" t="s">
        <v>54</v>
      </c>
      <c r="AX23" s="38" t="s">
        <v>55</v>
      </c>
      <c r="AY23" s="38" t="s">
        <v>56</v>
      </c>
      <c r="AZ23" s="38" t="s">
        <v>57</v>
      </c>
      <c r="BA23" s="38" t="s">
        <v>58</v>
      </c>
    </row>
    <row r="24" customFormat="false" ht="14.25" hidden="false" customHeight="false" outlineLevel="0" collapsed="false">
      <c r="C24" s="0"/>
      <c r="H24" s="0"/>
    </row>
    <row r="25" customFormat="false" ht="14.25" hidden="false" customHeight="false" outlineLevel="0" collapsed="false">
      <c r="C25" s="0"/>
      <c r="H25" s="0"/>
    </row>
    <row r="26" customFormat="false" ht="14.25" hidden="false" customHeight="false" outlineLevel="0" collapsed="false">
      <c r="C26" s="0"/>
      <c r="H26" s="0"/>
    </row>
    <row r="27" customFormat="false" ht="14.25" hidden="false" customHeight="false" outlineLevel="0" collapsed="false">
      <c r="C27" s="0"/>
      <c r="H27" s="0"/>
    </row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2"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8:E18"/>
    <mergeCell ref="E22:M22"/>
    <mergeCell ref="N22:AN22"/>
  </mergeCells>
  <conditionalFormatting sqref="H7 H11">
    <cfRule type="expression" priority="2" aboveAverage="0" equalAverage="0" bottom="0" percent="0" rank="0" text="" dxfId="0">
      <formula>$F7="чч:мм:сс"</formula>
    </cfRule>
  </conditionalFormatting>
  <dataValidations count="1">
    <dataValidation allowBlank="true" errorStyle="stop" operator="between" showDropDown="false" showErrorMessage="false" showInputMessage="true" sqref="H7:H1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2026-03-25T19:09:10Z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