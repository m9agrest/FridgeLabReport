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<sst xmlns="http://schemas.openxmlformats.org/spreadsheetml/2006/main" count="69" uniqueCount="50">
  <si>
    <t xml:space="preserve">Выход на режим</t>
  </si>
  <si>
    <t xml:space="preserve">ч:мин</t>
  </si>
  <si>
    <t xml:space="preserve">Максимальная температура конденсации</t>
  </si>
  <si>
    <t xml:space="preserve">˚С</t>
  </si>
  <si>
    <t xml:space="preserve">Минимальная температура кипения </t>
  </si>
  <si>
    <t xml:space="preserve">Минимальная температура всаса </t>
  </si>
  <si>
    <t xml:space="preserve">1 дверь, со ступенькой</t>
  </si>
  <si>
    <t xml:space="preserve">T4</t>
  </si>
  <si>
    <t xml:space="preserve">T5</t>
  </si>
  <si>
    <t xml:space="preserve">T9</t>
  </si>
  <si>
    <t xml:space="preserve">T10</t>
  </si>
  <si>
    <t xml:space="preserve">T14</t>
  </si>
  <si>
    <t xml:space="preserve">T15</t>
  </si>
  <si>
    <t xml:space="preserve">T1</t>
  </si>
  <si>
    <t xml:space="preserve">T6</t>
  </si>
  <si>
    <t xml:space="preserve">T11</t>
  </si>
  <si>
    <t xml:space="preserve">T16</t>
  </si>
  <si>
    <t xml:space="preserve">T2</t>
  </si>
  <si>
    <t xml:space="preserve">T3</t>
  </si>
  <si>
    <t xml:space="preserve">T7</t>
  </si>
  <si>
    <t xml:space="preserve">T8</t>
  </si>
  <si>
    <t xml:space="preserve">T12</t>
  </si>
  <si>
    <t xml:space="preserve">T13</t>
  </si>
  <si>
    <t xml:space="preserve">T17</t>
  </si>
  <si>
    <t xml:space="preserve">Время испытания</t>
  </si>
  <si>
    <t xml:space="preserve">Дата</t>
  </si>
  <si>
    <t xml:space="preserve">Время.</t>
  </si>
  <si>
    <t xml:space="preserve">Pc </t>
  </si>
  <si>
    <t xml:space="preserve">Ре</t>
  </si>
  <si>
    <t xml:space="preserve">Тc фильтр Tс</t>
  </si>
  <si>
    <t xml:space="preserve">Тe  всас.  Te</t>
  </si>
  <si>
    <t xml:space="preserve">Tcompr - Корпус компрессора  1</t>
  </si>
  <si>
    <t xml:space="preserve">Tкд1 Вход в конденсатор ( воздух )  2</t>
  </si>
  <si>
    <t xml:space="preserve">Tкд2 выход из конденсатора ( воздух )  3</t>
  </si>
  <si>
    <t xml:space="preserve">Tис1 Вход в испаритель ( воздух )  4</t>
  </si>
  <si>
    <t xml:space="preserve">Tис2 Выход из испарителя ( воздух )  5</t>
  </si>
  <si>
    <t xml:space="preserve">T18</t>
  </si>
  <si>
    <t xml:space="preserve">V </t>
  </si>
  <si>
    <t xml:space="preserve">I  </t>
  </si>
  <si>
    <t xml:space="preserve">W  </t>
  </si>
  <si>
    <t xml:space="preserve">Влажность в камере.</t>
  </si>
  <si>
    <t xml:space="preserve">Т  в камере.</t>
  </si>
  <si>
    <t xml:space="preserve">Минимальная</t>
  </si>
  <si>
    <t xml:space="preserve">Средняя</t>
  </si>
  <si>
    <t xml:space="preserve">Максимальная</t>
  </si>
  <si>
    <t xml:space="preserve">T конденсации</t>
  </si>
  <si>
    <t xml:space="preserve">T кипения</t>
  </si>
  <si>
    <t xml:space="preserve">Переохлаждение</t>
  </si>
  <si>
    <t xml:space="preserve">Перегрев</t>
  </si>
  <si>
    <t xml:space="preserve">Напор</t>
  </si>
</sst>
</file>

<file path=xl/styles.xml><?xml version="1.0" encoding="utf-8"?>
<styleSheet xmlns="http://schemas.openxmlformats.org/spreadsheetml/2006/main">
  <numFmts count="6">
    <numFmt numFmtId="164" formatCode="[h]:mm:ss"/>
    <numFmt numFmtId="165" formatCode="General"/>
    <numFmt numFmtId="166" formatCode="[h]:mm:ss;@"/>
    <numFmt numFmtId="167" formatCode="\+#,##0.0;\-#,##0.0"/>
    <numFmt numFmtId="168" formatCode="[h]:mm;@"/>
    <numFmt numFmtId="169" formatCode="0.0"/>
  </numFmts>
  <fonts count="13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b val="true"/>
      <sz val="12"/>
      <name val="Times New Roman"/>
      <family val="1"/>
      <charset val="204"/>
    </font>
    <font>
      <b val="true"/>
      <sz val="16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4"/>
      <name val="Times New Roman"/>
      <family val="1"/>
      <charset val="1"/>
    </font>
    <font>
      <b val="true"/>
      <sz val="12"/>
      <color rgb="FFFF0000"/>
      <name val="Times New Roman"/>
      <family val="1"/>
      <charset val="204"/>
    </font>
    <font>
      <b val="true"/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4B183"/>
      </patternFill>
    </fill>
    <fill>
      <patternFill patternType="solid">
        <fgColor rgb="FFC2C8FF"/>
        <bgColor rgb="FFBFBFBF"/>
      </patternFill>
    </fill>
    <fill>
      <patternFill patternType="solid">
        <fgColor theme="0"/>
        <bgColor rgb="FFFFFBC2"/>
      </patternFill>
    </fill>
    <fill>
      <patternFill patternType="solid">
        <fgColor theme="5" tint="0.3999"/>
        <bgColor rgb="FFF8CBAD"/>
      </patternFill>
    </fill>
    <fill>
      <patternFill patternType="solid">
        <fgColor theme="9"/>
        <bgColor rgb="FF339966"/>
      </patternFill>
    </fill>
    <fill>
      <patternFill patternType="solid">
        <fgColor rgb="FFCCFFC2"/>
        <bgColor rgb="FFCCFFFF"/>
      </patternFill>
    </fill>
    <fill>
      <patternFill patternType="solid">
        <fgColor rgb="FFFFFBC2"/>
        <bgColor rgb="FFFFFF99"/>
      </patternFill>
    </fill>
    <fill>
      <patternFill patternType="solid">
        <fgColor rgb="FFFFC2F3"/>
        <bgColor rgb="FFF8CBAD"/>
      </patternFill>
    </fill>
    <fill>
      <patternFill patternType="solid">
        <fgColor theme="0" tint="-0.25"/>
        <bgColor rgb="FFC2C8FF"/>
      </patternFill>
    </fill>
    <fill>
      <patternFill patternType="solid">
        <fgColor theme="4" tint="0.7999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5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6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7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4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8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9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12" fillId="9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2" fillId="1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11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12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1">
    <dxf>
      <numFmt numFmtId="164" formatCode="[h]:mm:ss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C2"/>
      <rgbColor rgb="FFDEEBF7"/>
      <rgbColor rgb="FF660066"/>
      <rgbColor rgb="FFFF8080"/>
      <rgbColor rgb="FF0066CC"/>
      <rgbColor rgb="FFC2C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2"/>
      <rgbColor rgb="FFFFFF99"/>
      <rgbColor rgb="FF99CCFF"/>
      <rgbColor rgb="FFF4B183"/>
      <rgbColor rgb="FFFFC2F3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AR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T23" activeCellId="0" sqref="T2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3" min="3" style="1" width="12.56"/>
    <col collapsed="false" customWidth="true" hidden="false" outlineLevel="0" max="8" min="8" style="1" width="17.33"/>
  </cols>
  <sheetData>
    <row r="7" customFormat="false" ht="15" hidden="false" customHeight="true" outlineLevel="0" collapsed="false">
      <c r="B7" s="2" t="s">
        <v>0</v>
      </c>
      <c r="C7" s="2"/>
      <c r="D7" s="2"/>
      <c r="E7" s="2"/>
      <c r="F7" s="2"/>
      <c r="G7" s="3" t="s">
        <v>1</v>
      </c>
      <c r="H7" s="4" t="n">
        <f aca="false">B22</f>
        <v>0</v>
      </c>
    </row>
    <row r="8" customFormat="false" ht="15" hidden="false" customHeight="true" outlineLevel="0" collapsed="false">
      <c r="B8" s="2" t="s">
        <v>2</v>
      </c>
      <c r="C8" s="2"/>
      <c r="D8" s="2"/>
      <c r="E8" s="2"/>
      <c r="F8" s="2"/>
      <c r="G8" s="3" t="s">
        <v>3</v>
      </c>
      <c r="H8" s="5" t="n">
        <f aca="false">MAX(AN24)</f>
        <v>0</v>
      </c>
    </row>
    <row r="9" customFormat="false" ht="15" hidden="false" customHeight="true" outlineLevel="0" collapsed="false">
      <c r="B9" s="2" t="s">
        <v>4</v>
      </c>
      <c r="C9" s="2"/>
      <c r="D9" s="2"/>
      <c r="E9" s="2"/>
      <c r="F9" s="2"/>
      <c r="G9" s="3" t="s">
        <v>3</v>
      </c>
      <c r="H9" s="5" t="n">
        <f aca="false">MIN(AO24)</f>
        <v>0</v>
      </c>
    </row>
    <row r="10" customFormat="false" ht="15" hidden="false" customHeight="true" outlineLevel="0" collapsed="false">
      <c r="B10" s="2" t="s">
        <v>5</v>
      </c>
      <c r="C10" s="2"/>
      <c r="D10" s="2"/>
      <c r="E10" s="2"/>
      <c r="F10" s="2"/>
      <c r="G10" s="3" t="s">
        <v>3</v>
      </c>
      <c r="H10" s="5" t="n">
        <f aca="false">MIN(H24)</f>
        <v>0</v>
      </c>
    </row>
    <row r="11" customFormat="false" ht="15" hidden="false" customHeight="false" outlineLevel="0" collapsed="false">
      <c r="B11" s="2"/>
      <c r="C11" s="2"/>
      <c r="D11" s="2"/>
      <c r="E11" s="2"/>
      <c r="F11" s="2"/>
      <c r="G11" s="3" t="str">
        <f aca="false">IFERROR(
IF(#REF!=[1]списки!$a$1,"",
IF(OR(#REF!=[1]списки!$a$2,#REF!=[1]списки!$a$3),"чч:мм:сс",
IF(#REF!=[1]списки!$a$4,"",
IF(#REF!=[1]списки!$a$5,"",
IF(#REF!=[1]списки!$a$6,"",
IF(#REF!=[1]списки!$a$7,"чч:мм:сс",
IF(#REF!=[1]списки!$a$9,"чч:мм:сс",
""))))))),"")</f>
        <v/>
      </c>
      <c r="H11" s="6" t="str">
        <f aca="false">IFERROR(
IF(#REF!=[1]списки!$a$1,"",
IF(AND(#REF!&lt;&gt;"нет метки temp",OR(#REF!=[1]списки!$a$2,#REF!=[1]списки!$a$3)),IFERROR(VLOOKUP("temp",A11:$A$978599,2,FALSE()),""),
IF(#REF!=[1]списки!$a$4,"",
IF(#REF!=[1]списки!$a$5,"",
IF(#REF!=[1]списки!$a$6,"",
IF(#REF!=[1]списки!$a$7,IFERROR(VLOOKUP("on",A11:$A$978599,2,FALSE()),""),
IF(#REF!=[1]списки!$a$8,"",
IF(#REF!=[1]списки!$a$9,IFERROR(VLOOKUP("off",A11:$A$978599,2,FALSE()),""),
"")))))))),"")</f>
        <v/>
      </c>
    </row>
    <row r="12" customFormat="false" ht="15" hidden="false" customHeight="false" outlineLevel="0" collapsed="false">
      <c r="B12" s="2" t="str">
        <f aca="false">IFERROR(
IF(#REF!=[1]списки!$a$1,"",
IF(OR(#REF!=[1]списки!$a$2,#REF!=[1]списки!$a$3),"Макс. температура",
IF(#REF!=[1]списки!$a$4,"",
IF(#REF!=[1]списки!$a$5,"",
IF(#REF!=[1]списки!$a$6,"",
IF(#REF!=[1]списки!$a$7,"Маск. температура в конце теста",
IF(#REF!=[1]списки!$a$8,"",
IF(#REF!=[1]списки!$a$9,"Маск. температура в конце теста",
"")))))))),"")</f>
        <v/>
      </c>
      <c r="C12" s="2"/>
      <c r="D12" s="2"/>
      <c r="E12" s="2"/>
      <c r="F12" s="2"/>
      <c r="G12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2" s="7" t="str">
        <f aca="false">IFERROR(
IF(#REF!=[1]списки!$a$1,"",
IF(AND(#REF!&lt;&gt;"нет метки temp",OR(#REF!=[1]списки!$a$2,#REF!=[1]списки!$a$3)),IFERROR(VLOOKUP("temp",A12:$AB$978599,24,FALSE()),""),
IF(#REF!=[1]списки!$a$4,"",
IF(#REF!=[1]списки!$a$5,"",
IF(#REF!=[1]списки!$a$6,"",
IF(#REF!=[1]списки!$a$7,IFERROR(VLOOKUP("On",A12:$AB$978599,24,FALSE()),""),
IF(#REF!=[1]списки!$a$8,"",
IF(#REF!=[1]списки!$a$9,IFERROR(VLOOKUP("off",A12:$AB$978599,24,FALSE()),""),
"")))))))),"")</f>
        <v/>
      </c>
    </row>
    <row r="13" customFormat="false" ht="15" hidden="false" customHeight="false" outlineLevel="0" collapsed="false">
      <c r="B13" s="2" t="str">
        <f aca="false">IFERROR(
IF(#REF!=[1]списки!$a$1,"",
IF(OR(#REF!=[1]списки!$a$2,#REF!=[1]списки!$a$3),"Мин. температура",
IF(#REF!=[1]списки!$a$4,"",
IF(#REF!=[1]списки!$a$5,"",
IF(#REF!=[1]списки!$a$6,"",
IF(#REF!=[1]списки!$a$7,"Мин. температура в конце теста",
IF(#REF!=[1]списки!$a$8,"",
IF(#REF!=[1]списки!$a$9,"Мин. температура в конце теста",
"")))))))),"")</f>
        <v/>
      </c>
      <c r="C13" s="2"/>
      <c r="D13" s="2"/>
      <c r="E13" s="2"/>
      <c r="F13" s="2"/>
      <c r="G13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3" s="7" t="str">
        <f aca="false">IFERROR(
IF(#REF!=[1]списки!$a$1,"",
IF(AND(#REF!&lt;&gt;"нет метки temp",OR(#REF!=[1]списки!$a$2,#REF!=[1]списки!$a$3)),IFERROR(VLOOKUP("temp",A13:$AB$978599,23,FALSE()),""),
IF(#REF!=[1]списки!$a$4,"",
IF(#REF!=[1]списки!$a$5,"",
IF(#REF!=[1]списки!$a$6,"",
IF(#REF!=[1]списки!$a$7,IFERROR(VLOOKUP("On",A13:$AB$978599,23,FALSE()),""),
IF(#REF!=[1]списки!$a$8,"",
IF(#REF!=[1]списки!$a$9,IFERROR(VLOOKUP("off",A13:$AB$978599,23,FALSE()),""),
"")))))))),"")</f>
        <v/>
      </c>
    </row>
    <row r="14" customFormat="false" ht="15" hidden="false" customHeight="false" outlineLevel="0" collapsed="false">
      <c r="B14" s="2" t="str">
        <f aca="false">IFERROR(
IF(#REF!=[1]списки!$a$1,"",
IF(OR(#REF!=[1]списки!$a$2,#REF!=[1]списки!$a$3),"Средняя температура",
IF(#REF!=[1]списки!$a$4,"",
IF(#REF!=[1]списки!$a$5,"",
IF(#REF!=[1]списки!$a$6,"",
IF(#REF!=[1]списки!$a$7,"Средняя температура в конце теста",
IF(#REF!=[1]списки!$a$8,"",
IF(#REF!=[1]списки!$a$9,"Средняя температура в конце теста",
"")))))))),"")</f>
        <v/>
      </c>
      <c r="C14" s="2"/>
      <c r="D14" s="2"/>
      <c r="E14" s="2"/>
      <c r="F14" s="2"/>
      <c r="G14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4" s="7" t="str">
        <f aca="false">IFERROR(
IF(#REF!=[1]списки!$a$1,"",
IF(AND(#REF!&lt;&gt;"нет метки temp",OR(#REF!=[1]списки!$a$2,#REF!=[1]списки!$a$3)),IFERROR(VLOOKUP("temp",A14:$AB$978599,25,FALSE()),""),
IF(#REF!=[1]списки!$a$4,"",
IF(#REF!=[1]списки!$a$5,"",
IF(#REF!=[1]списки!$a$6,"",
IF(#REF!=[1]списки!$a$7,IFERROR(VLOOKUP("On",A14:$AB$978599,25,FALSE()),""),
IF(#REF!=[1]списки!$a$8,"",
IF(#REF!=[1]списки!$a$9,IFERROR(VLOOKUP("off",A14:$AB$978599,25,FALSE()),""),
"")))))))),"")</f>
        <v/>
      </c>
    </row>
    <row r="15" customFormat="false" ht="15" hidden="false" customHeight="false" outlineLevel="0" collapsed="false">
      <c r="B15" s="2"/>
      <c r="C15" s="2"/>
      <c r="D15" s="2"/>
      <c r="E15" s="2"/>
      <c r="F15" s="2"/>
      <c r="G15" s="3"/>
      <c r="H15" s="8"/>
    </row>
    <row r="18" customFormat="false" ht="19.7" hidden="false" customHeight="false" outlineLevel="0" collapsed="false">
      <c r="B18" s="9" t="s">
        <v>6</v>
      </c>
      <c r="C18" s="9"/>
      <c r="D18" s="9"/>
      <c r="E18" s="9"/>
      <c r="N18" s="10"/>
      <c r="O18" s="11"/>
      <c r="P18" s="12"/>
      <c r="R18" s="13" t="s">
        <v>7</v>
      </c>
      <c r="S18" s="14"/>
      <c r="T18" s="15"/>
      <c r="U18" s="16"/>
      <c r="V18" s="13" t="s">
        <v>8</v>
      </c>
      <c r="X18" s="13" t="s">
        <v>9</v>
      </c>
      <c r="Y18" s="14"/>
      <c r="Z18" s="15"/>
      <c r="AA18" s="16"/>
      <c r="AB18" s="13" t="s">
        <v>10</v>
      </c>
      <c r="AD18" s="13" t="s">
        <v>11</v>
      </c>
      <c r="AE18" s="14"/>
      <c r="AF18" s="15"/>
      <c r="AG18" s="16"/>
      <c r="AH18" s="13" t="s">
        <v>12</v>
      </c>
    </row>
    <row r="19" customFormat="false" ht="14.25" hidden="false" customHeight="false" outlineLevel="0" collapsed="false">
      <c r="N19" s="17"/>
      <c r="O19" s="13" t="s">
        <v>13</v>
      </c>
      <c r="P19" s="17"/>
      <c r="R19" s="18"/>
      <c r="S19" s="19"/>
      <c r="T19" s="13" t="s">
        <v>14</v>
      </c>
      <c r="U19" s="19"/>
      <c r="V19" s="20"/>
      <c r="X19" s="18"/>
      <c r="Y19" s="19"/>
      <c r="Z19" s="13" t="s">
        <v>15</v>
      </c>
      <c r="AA19" s="19"/>
      <c r="AB19" s="20"/>
      <c r="AD19" s="18"/>
      <c r="AE19" s="19"/>
      <c r="AF19" s="13" t="s">
        <v>16</v>
      </c>
      <c r="AG19" s="19"/>
      <c r="AH19" s="20"/>
    </row>
    <row r="20" customFormat="false" ht="14.25" hidden="false" customHeight="false" outlineLevel="0" collapsed="false">
      <c r="N20" s="13" t="s">
        <v>17</v>
      </c>
      <c r="P20" s="13" t="s">
        <v>18</v>
      </c>
      <c r="R20" s="13" t="s">
        <v>19</v>
      </c>
      <c r="S20" s="21"/>
      <c r="T20" s="15"/>
      <c r="U20" s="22"/>
      <c r="V20" s="13" t="s">
        <v>20</v>
      </c>
      <c r="X20" s="13" t="s">
        <v>21</v>
      </c>
      <c r="Y20" s="21"/>
      <c r="Z20" s="15"/>
      <c r="AA20" s="22"/>
      <c r="AB20" s="13" t="s">
        <v>22</v>
      </c>
      <c r="AD20" s="13" t="s">
        <v>23</v>
      </c>
      <c r="AE20" s="21"/>
      <c r="AF20" s="15"/>
      <c r="AG20" s="22"/>
      <c r="AH20" s="13" t="n">
        <v>18</v>
      </c>
    </row>
    <row r="22" customFormat="false" ht="14.25" hidden="false" customHeight="false" outlineLevel="0" collapsed="false">
      <c r="B22" s="23"/>
      <c r="C22" s="23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customFormat="false" ht="218.65" hidden="false" customHeight="false" outlineLevel="0" collapsed="false">
      <c r="B23" s="26" t="s">
        <v>24</v>
      </c>
      <c r="C23" s="27" t="s">
        <v>25</v>
      </c>
      <c r="D23" s="27" t="s">
        <v>26</v>
      </c>
      <c r="E23" s="28" t="s">
        <v>27</v>
      </c>
      <c r="F23" s="29" t="s">
        <v>28</v>
      </c>
      <c r="G23" s="29" t="s">
        <v>29</v>
      </c>
      <c r="H23" s="29" t="s">
        <v>30</v>
      </c>
      <c r="I23" s="30" t="s">
        <v>31</v>
      </c>
      <c r="J23" s="31" t="s">
        <v>32</v>
      </c>
      <c r="K23" s="31" t="s">
        <v>33</v>
      </c>
      <c r="L23" s="32" t="s">
        <v>34</v>
      </c>
      <c r="M23" s="32" t="s">
        <v>35</v>
      </c>
      <c r="N23" s="33" t="s">
        <v>13</v>
      </c>
      <c r="O23" s="33" t="s">
        <v>17</v>
      </c>
      <c r="P23" s="33" t="s">
        <v>18</v>
      </c>
      <c r="Q23" s="33" t="s">
        <v>7</v>
      </c>
      <c r="R23" s="33" t="s">
        <v>8</v>
      </c>
      <c r="S23" s="34" t="s">
        <v>14</v>
      </c>
      <c r="T23" s="34" t="s">
        <v>19</v>
      </c>
      <c r="U23" s="34" t="s">
        <v>20</v>
      </c>
      <c r="V23" s="34" t="s">
        <v>9</v>
      </c>
      <c r="W23" s="34" t="s">
        <v>10</v>
      </c>
      <c r="X23" s="35" t="s">
        <v>15</v>
      </c>
      <c r="Y23" s="36" t="s">
        <v>21</v>
      </c>
      <c r="Z23" s="36" t="s">
        <v>22</v>
      </c>
      <c r="AA23" s="36" t="s">
        <v>11</v>
      </c>
      <c r="AB23" s="36" t="s">
        <v>12</v>
      </c>
      <c r="AC23" s="37" t="s">
        <v>16</v>
      </c>
      <c r="AD23" s="37" t="s">
        <v>23</v>
      </c>
      <c r="AE23" s="37" t="s">
        <v>36</v>
      </c>
      <c r="AF23" s="38" t="s">
        <v>37</v>
      </c>
      <c r="AG23" s="38" t="s">
        <v>38</v>
      </c>
      <c r="AH23" s="27" t="s">
        <v>39</v>
      </c>
      <c r="AI23" s="39" t="s">
        <v>40</v>
      </c>
      <c r="AJ23" s="39" t="s">
        <v>41</v>
      </c>
      <c r="AK23" s="40" t="s">
        <v>42</v>
      </c>
      <c r="AL23" s="40" t="s">
        <v>43</v>
      </c>
      <c r="AM23" s="40" t="s">
        <v>44</v>
      </c>
      <c r="AN23" s="41" t="s">
        <v>45</v>
      </c>
      <c r="AO23" s="41" t="s">
        <v>46</v>
      </c>
      <c r="AP23" s="41" t="s">
        <v>47</v>
      </c>
      <c r="AQ23" s="41" t="s">
        <v>48</v>
      </c>
      <c r="AR23" s="41" t="s">
        <v>49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8:E18"/>
    <mergeCell ref="E22:M22"/>
    <mergeCell ref="N22:AE22"/>
  </mergeCells>
  <conditionalFormatting sqref="H7 H11">
    <cfRule type="expression" priority="2" aboveAverage="0" equalAverage="0" bottom="0" percent="0" rank="0" text="" dxfId="0">
      <formula>$F7="чч:мм:сс"</formula>
    </cfRule>
  </conditionalFormatting>
  <dataValidations count="1">
    <dataValidation allowBlank="true" errorStyle="stop" operator="between" showDropDown="false" showErrorMessage="false" showInputMessage="true" sqref="H7:H1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2026-02-24T07:17:34Z</dcterms:created>
  <dc:creator>Irina Zubova</dc:creator>
  <dc:description/>
  <dc:language>ru-RU</dc:language>
  <cp:lastModifiedBy/>
  <dcterms:modified xsi:type="dcterms:W3CDTF">2026-03-25T23:17:32Z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